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S314BU\Downloads\"/>
    </mc:Choice>
  </mc:AlternateContent>
  <xr:revisionPtr revIDLastSave="0" documentId="13_ncr:1_{EBDB917A-9023-479F-88A4-D6415902508E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B16" i="16"/>
  <c r="B17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6" i="16"/>
  <c r="E16" i="16"/>
  <c r="D16" i="16"/>
  <c r="C16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30" i="18"/>
  <c r="E29" i="18"/>
  <c r="E28" i="18"/>
  <c r="E21" i="18"/>
  <c r="E27" i="18"/>
  <c r="E26" i="18"/>
  <c r="E25" i="18"/>
  <c r="E24" i="18"/>
  <c r="E23" i="18"/>
  <c r="E22" i="18"/>
  <c r="E20" i="18"/>
  <c r="E19" i="18"/>
  <c r="E18" i="18"/>
  <c r="E16" i="18"/>
  <c r="E17" i="18"/>
  <c r="E15" i="18"/>
  <c r="E14" i="18"/>
  <c r="E13" i="18"/>
  <c r="E12" i="18"/>
  <c r="E11" i="18"/>
  <c r="E10" i="18"/>
  <c r="E9" i="18"/>
  <c r="E8" i="18"/>
  <c r="E7" i="18"/>
  <c r="E6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8" i="18"/>
  <c r="D9" i="18"/>
  <c r="D7" i="18"/>
  <c r="D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30" i="18" s="1"/>
  <c r="C13" i="18"/>
  <c r="C12" i="18"/>
  <c r="C11" i="18"/>
  <c r="C10" i="18"/>
  <c r="C9" i="18"/>
  <c r="C8" i="18"/>
  <c r="C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29" i="18" s="1"/>
  <c r="B13" i="18"/>
  <c r="B12" i="18"/>
  <c r="B11" i="18"/>
  <c r="B10" i="18"/>
  <c r="B9" i="18"/>
  <c r="B8" i="18"/>
  <c r="B7" i="18"/>
  <c r="B6" i="18"/>
  <c r="H41" i="1"/>
  <c r="B28" i="18" l="1"/>
  <c r="B30" i="18"/>
  <c r="C29" i="18"/>
  <c r="C28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<sst xmlns="http://schemas.openxmlformats.org/spreadsheetml/2006/main" count="328" uniqueCount="183">
  <si>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</si>
  <si>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</si>
  <si>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</si>
  <si>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</si>
  <si>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</si>
  <si>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</si>
  <si>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</si>
  <si>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</si>
  <si>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</si>
  <si>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</si>
  <si>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</si>
  <si>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</si>
  <si>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</si>
  <si>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</si>
  <si>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</si>
  <si>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</si>
  <si>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</si>
  <si>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</si>
  <si>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</si>
  <si>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</si>
  <si>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</si>
  <si>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</si>
  <si>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</si>
  <si>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</si>
  <si>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</si>
  <si>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</si>
  <si>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</si>
  <si>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</si>
  <si>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</si>
  <si>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</si>
  <si>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</si>
  <si>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</si>
  <si>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</si>
  <si>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</si>
  <si>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</si>
  <si>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</si>
  <si>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</si>
  <si>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</si>
  <si>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</si>
  <si>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</si>
  <si>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</si>
  <si>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</si>
  <si>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</si>
  <si>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</si>
  <si>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</si>
  <si>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</si>
  <si>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</si>
  <si>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</si>
  <si>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</si>
  <si>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</si>
  <si>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</si>
  <si>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</si>
  <si>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</si>
  <si>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</si>
  <si>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</si>
  <si>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</si>
  <si>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</si>
  <si>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</si>
  <si>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</si>
  <si>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</si>
  <si>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</si>
  <si>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</si>
  <si>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</si>
  <si>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</si>
  <si>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</si>
  <si>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</si>
  <si>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</si>
  <si>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</si>
  <si>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</si>
  <si>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</si>
  <si>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</si>
  <si>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</si>
  <si>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</si>
  <si>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</si>
  <si>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</si>
  <si>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</si>
  <si>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</si>
  <si>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</si>
  <si>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</si>
  <si>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</si>
  <si>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</si>
  <si>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</si>
  <si>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</si>
  <si>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</si>
  <si>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</si>
  <si>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</si>
  <si>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</si>
  <si>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</si>
  <si>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</si>
  <si>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</si>
  <si>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</si>
  <si>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</si>
  <si>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</si>
  <si>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</si>
  <si>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</si>
  <si>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</si>
  <si>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</si>
  <si>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</si>
  <si>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</si>
  <si>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</si>
  <si>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</si>
  <si>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</si>
  <si>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</si>
  <si>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</si>
  <si>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</si>
  <si>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</si>
  <si>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</si>
  <si>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</si>
  <si>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</si>
  <si>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</si>
  <si>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</si>
  <si>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</si>
  <si>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</si>
  <si>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</si>
  <si>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</si>
  <si>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</si>
  <si>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</si>
  <si>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</si>
  <si>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</si>
  <si>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</si>
  <si>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</si>
  <si>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</si>
  <si>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</si>
  <si>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</si>
  <si>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</si>
  <si>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</si>
  <si>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</si>
  <si>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</si>
  <si>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</si>
  <si>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</si>
  <si>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</si>
  <si>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</si>
  <si>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</si>
  <si>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</si>
  <si>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</si>
  <si>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</si>
  <si>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</si>
  <si>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</si>
  <si>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</si>
  <si>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</si>
  <si>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</si>
  <si>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</si>
  <si>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</si>
  <si>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</si>
  <si>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</si>
  <si>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</si>
  <si>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</si>
  <si>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</si>
  <si>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</si>
  <si>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</si>
  <si>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</si>
  <si>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</si>
  <si>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</si>
  <si>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</si>
  <si>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</si>
  <si>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</si>
  <si>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</si>
  <si>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</si>
  <si>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</si>
  <si>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</si>
  <si>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</si>
  <si>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</si>
  <si>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</si>
  <si>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</si>
  <si>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</si>
  <si>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</si>
  <si>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</si>
  <si>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</si>
  <si>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</si>
  <si>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</si>
  <si>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</si>
  <si>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</si>
  <si>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</si>
  <si>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</si>
  <si>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</si>
  <si>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</si>
  <si>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</si>
  <si>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"=SUMIF(H1:H40,"&gt;20")"</t>
  </si>
  <si>
    <t xml:space="preserve">"=LEFT(A17, FIND("-", A16) - 1)" , "=MID(A16, FIND("-", A16) + 1, FIND("-", A16, FIND("-", A16) + 1) - FIND("-", A16) - 1)", "=MID(A16, FIND("-", A16, FIND("-", A16) + 1) + 1, FIND("-", A16, FIND("-", A16, FIND("-", A16) + 1) + 1) - FIND("-", A16, FIND("-", A16) + 1) - 1)" , and so on </t>
  </si>
  <si>
    <t>=SUMPRODUCT(IF(ISNUMBER(C12:C21),C12:C21,20))'</t>
  </si>
  <si>
    <t xml:space="preserve">This formula uses SUMPRODUCT, IF, and ISNUMBER functions to sum the values in the range C12:C21 while replacing any non-numeric values (including #N/A) with '20'. </t>
  </si>
  <si>
    <t>=INDEX($A$9:$I$18,MATCH(A23,$A$9:$A$18,0),MATCH(B23,$M$9:$M$18,0))'</t>
  </si>
  <si>
    <t xml:space="preserve">This formula uses the INDEX and MATCH functions to find the intersection of the names in Table_C (corresponding to Table_B) with the headers of Table_A. It locates the row and column in Table_A to fetch the respective value for each pair of names in Table_C.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</si>
</sst>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Ubuntu Mono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3" fillId="0" borderId="0" xfId="0" quotePrefix="1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M1" zoomScaleNormal="100" workbookViewId="0">
      <pane ySplit="1" topLeftCell="A2" activePane="bottomLeft" state="frozen"/>
      <selection pane="bottomLeft" activeCell="G1" sqref="G1:G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SUMIF(H1:H40,"&gt;20")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0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IFERROR(VLOOKUP(A6, Dataset!A:G, 7, FALSE), "")</f>
        <v>2.7</v>
      </c>
      <c r="C6" s="11">
        <f>IFERROR(VLOOKUP(A6, Dataset!A:N, 14, FALSE), "")</f>
        <v>7.6</v>
      </c>
      <c r="D6" s="11">
        <f>IFERROR(VLOOKUP(A6, Dataset!A:R, 18, FALSE), "")</f>
        <v>4.2</v>
      </c>
      <c r="E6" s="11">
        <f>IFERROR(VLOOKUP(A6,Dataset!A:T, 20, FALSE), "")</f>
        <v>8.9</v>
      </c>
      <c r="F6" s="8">
        <f>IFERROR(VLOOKUP(A6, Dataset!A:V, 22, FALSE), "")</f>
        <v>4.2</v>
      </c>
    </row>
    <row r="7" spans="1:7" ht="14.4" x14ac:dyDescent="0.3">
      <c r="A7" s="7" t="s">
        <v>4</v>
      </c>
      <c r="B7" s="11">
        <f>IFERROR(VLOOKUP(A7, Dataset!A:G, 7, FALSE), "")</f>
        <v>2.7</v>
      </c>
      <c r="C7" s="11">
        <f>IFERROR(VLOOKUP(A7, Dataset!A:N, 14, FALSE), "")</f>
        <v>7.6</v>
      </c>
      <c r="D7" s="11">
        <f>IFERROR(VLOOKUP(A7, Dataset!A:R, 18, FALSE), "")</f>
        <v>4.2</v>
      </c>
      <c r="E7" s="11">
        <f>IFERROR(VLOOKUP(A7,Dataset!A:T, 20, FALSE), "")</f>
        <v>8.9</v>
      </c>
      <c r="F7" s="8">
        <f>IFERROR(VLOOKUP(A7, Dataset!A:V, 22, FALSE), "")</f>
        <v>4.2</v>
      </c>
    </row>
    <row r="8" spans="1:7" ht="14.4" x14ac:dyDescent="0.3">
      <c r="A8" s="7" t="s">
        <v>7</v>
      </c>
      <c r="B8" s="11">
        <f>IFERROR(VLOOKUP(A8, Dataset!A:G, 7, FALSE), "")</f>
        <v>3.6</v>
      </c>
      <c r="C8" s="11">
        <f>IFERROR(VLOOKUP(A8, Dataset!A:N, 14, FALSE), "")</f>
        <v>11.1</v>
      </c>
      <c r="D8" s="11">
        <f>IFERROR(VLOOKUP(A8, Dataset!A:R, 18, FALSE), "")</f>
        <v>5.8</v>
      </c>
      <c r="E8" s="11">
        <f>IFERROR(VLOOKUP(A8,Dataset!A:T, 20, FALSE), "")</f>
        <v>12.2</v>
      </c>
      <c r="F8" s="8">
        <f>IFERROR(VLOOKUP(A8, Dataset!A:V, 22, FALSE), "")</f>
        <v>5.8</v>
      </c>
    </row>
    <row r="9" spans="1:7" ht="14.4" x14ac:dyDescent="0.3">
      <c r="A9" s="7" t="s">
        <v>8</v>
      </c>
      <c r="B9" s="11">
        <f>IFERROR(VLOOKUP(A9, Dataset!A:G, 7, FALSE), "")</f>
        <v>4.9000000000000004</v>
      </c>
      <c r="C9" s="11">
        <f>IFERROR(VLOOKUP(A9, Dataset!A:N, 14, FALSE), "")</f>
        <v>13.3</v>
      </c>
      <c r="D9" s="11">
        <f>IFERROR(VLOOKUP(A9, Dataset!A:R, 18, FALSE), "")</f>
        <v>8.1</v>
      </c>
      <c r="E9" s="11">
        <f>IFERROR(VLOOKUP(A9,Dataset!A:T, 20, FALSE), "")</f>
        <v>17</v>
      </c>
      <c r="F9" s="8">
        <f>IFERROR(VLOOKUP(A9, Dataset!A:V, 22, FALSE), "")</f>
        <v>8.1</v>
      </c>
    </row>
    <row r="10" spans="1:7" ht="14.4" x14ac:dyDescent="0.3">
      <c r="A10" s="7" t="s">
        <v>11</v>
      </c>
      <c r="B10" s="11">
        <f>IFERROR(VLOOKUP(A10, Dataset!A:G, 7, FALSE), "")</f>
        <v>9.4</v>
      </c>
      <c r="C10" s="11">
        <f>IFERROR(VLOOKUP(A10, Dataset!A:N, 14, FALSE), "")</f>
        <v>28.3</v>
      </c>
      <c r="D10" s="11">
        <f>IFERROR(VLOOKUP(A10, Dataset!A:R, 18, FALSE), "")</f>
        <v>16.100000000000001</v>
      </c>
      <c r="E10" s="11">
        <f>IFERROR(VLOOKUP(A10,Dataset!A:T, 20, FALSE), "")</f>
        <v>32.799999999999997</v>
      </c>
      <c r="F10" s="8">
        <f>IFERROR(VLOOKUP(A10, Dataset!A:V, 22, FALSE), "")</f>
        <v>16.100000000000001</v>
      </c>
    </row>
    <row r="11" spans="1:7" ht="14.4" x14ac:dyDescent="0.3">
      <c r="A11" s="7" t="s">
        <v>12</v>
      </c>
      <c r="B11" s="11">
        <f>IFERROR(VLOOKUP(A11, Dataset!A:G, 7, FALSE), "")</f>
        <v>11.6</v>
      </c>
      <c r="C11" s="11">
        <f>IFERROR(VLOOKUP(A11, Dataset!A:N, 14, FALSE), "")</f>
        <v>35.200000000000003</v>
      </c>
      <c r="D11" s="11">
        <f>IFERROR(VLOOKUP(A11, Dataset!A:R, 18, FALSE), "")</f>
        <v>21.3</v>
      </c>
      <c r="E11" s="11">
        <f>IFERROR(VLOOKUP(A11,Dataset!A:T, 20, FALSE), "")</f>
        <v>43</v>
      </c>
      <c r="F11" s="8">
        <f>IFERROR(VLOOKUP(A11, Dataset!A:V, 22, FALSE), "")</f>
        <v>21.3</v>
      </c>
    </row>
    <row r="12" spans="1:7" ht="14.4" x14ac:dyDescent="0.3">
      <c r="A12" s="7" t="s">
        <v>14</v>
      </c>
      <c r="B12" s="11">
        <f>IFERROR(VLOOKUP(A12, Dataset!A:G, 7, FALSE), "")</f>
        <v>18.399999999999999</v>
      </c>
      <c r="C12" s="11">
        <f>IFERROR(VLOOKUP(A12, Dataset!A:N, 14, FALSE), "")</f>
        <v>55.6</v>
      </c>
      <c r="D12" s="11">
        <f>IFERROR(VLOOKUP(A12, Dataset!A:R, 18, FALSE), "")</f>
        <v>33.799999999999997</v>
      </c>
      <c r="E12" s="11">
        <f>IFERROR(VLOOKUP(A12,Dataset!A:T, 20, FALSE), "")</f>
        <v>67.900000000000006</v>
      </c>
      <c r="F12" s="8">
        <f>IFERROR(VLOOKUP(A12, Dataset!A:V, 22, FALSE), "")</f>
        <v>33.799999999999997</v>
      </c>
    </row>
    <row r="13" spans="1:7" ht="14.4" x14ac:dyDescent="0.3">
      <c r="A13" s="7" t="s">
        <v>15</v>
      </c>
      <c r="B13" s="11">
        <f>IFERROR(VLOOKUP(A13, Dataset!A:G, 7, FALSE), "")</f>
        <v>0</v>
      </c>
      <c r="C13" s="11">
        <f>IFERROR(VLOOKUP(A13, Dataset!A:N, 14, FALSE), "")</f>
        <v>0</v>
      </c>
      <c r="D13" s="11">
        <f>IFERROR(VLOOKUP(A13, Dataset!A:R, 18, FALSE), "")</f>
        <v>0</v>
      </c>
      <c r="E13" s="11">
        <f>IFERROR(VLOOKUP(A13,Dataset!A:T, 20, FALSE), "")</f>
        <v>0</v>
      </c>
      <c r="F13" s="8">
        <f>IFERROR(VLOOKUP(A13, Dataset!A:V, 22, FALSE), "")</f>
        <v>0</v>
      </c>
    </row>
    <row r="14" spans="1:7" ht="14.4" x14ac:dyDescent="0.3">
      <c r="A14" s="7" t="s">
        <v>16</v>
      </c>
      <c r="B14" s="11">
        <f>IFERROR(VLOOKUP(A14, Dataset!A:G, 7, FALSE), "")</f>
        <v>21.9</v>
      </c>
      <c r="C14" s="11">
        <f>IFERROR(VLOOKUP(A14, Dataset!A:N, 14, FALSE), "")</f>
        <v>61.5</v>
      </c>
      <c r="D14" s="11">
        <f>IFERROR(VLOOKUP(A14, Dataset!A:R, 18, FALSE), "")</f>
        <v>40.1</v>
      </c>
      <c r="E14" s="11">
        <f>IFERROR(VLOOKUP(A14,Dataset!A:T, 20, FALSE), "")</f>
        <v>76.599999999999994</v>
      </c>
      <c r="F14" s="8">
        <f>IFERROR(VLOOKUP(A14, Dataset!A:V, 22, FALSE), "")</f>
        <v>40.1</v>
      </c>
    </row>
    <row r="15" spans="1:7" ht="14.4" x14ac:dyDescent="0.3">
      <c r="A15" s="7" t="s">
        <v>18</v>
      </c>
      <c r="B15" s="11">
        <f>IFERROR(VLOOKUP(A15, Dataset!A:G, 7, FALSE), "")</f>
        <v>26.8</v>
      </c>
      <c r="C15" s="11">
        <f>IFERROR(VLOOKUP(A15, Dataset!A:N, 14, FALSE), "")</f>
        <v>79.599999999999994</v>
      </c>
      <c r="D15" s="11">
        <f>IFERROR(VLOOKUP(A15, Dataset!A:R, 18, FALSE), "")</f>
        <v>47.9</v>
      </c>
      <c r="E15" s="11">
        <f>IFERROR(VLOOKUP(A15,Dataset!A:T, 20, FALSE), "")</f>
        <v>96.8</v>
      </c>
      <c r="F15" s="8">
        <f>IFERROR(VLOOKUP(A15, Dataset!A:V, 22, FALSE), "")</f>
        <v>47.9</v>
      </c>
    </row>
    <row r="16" spans="1:7" ht="14.4" x14ac:dyDescent="0.3">
      <c r="A16" s="7" t="s">
        <v>20</v>
      </c>
      <c r="B16" s="11">
        <f>IFERROR(VLOOKUP(A16, Dataset!A:G, 7, FALSE), "")</f>
        <v>28.5</v>
      </c>
      <c r="C16" s="11">
        <f>IFERROR(VLOOKUP(A16, Dataset!A:N, 14, FALSE), "")</f>
        <v>85.4</v>
      </c>
      <c r="D16" s="11">
        <f>IFERROR(VLOOKUP(A16, Dataset!A:R, 18, FALSE), "")</f>
        <v>52.3</v>
      </c>
      <c r="E16" s="11">
        <f>IFERROR(VLOOKUP(A16,Dataset!A:T, 20, FALSE), "")</f>
        <v>106.1</v>
      </c>
      <c r="F16" s="8">
        <f>IFERROR(VLOOKUP(A16, Dataset!A:V, 22, FALSE), "")</f>
        <v>52.3</v>
      </c>
    </row>
    <row r="17" spans="1:6" ht="14.4" x14ac:dyDescent="0.3">
      <c r="A17" s="7" t="s">
        <v>22</v>
      </c>
      <c r="B17" s="11">
        <f>IFERROR(VLOOKUP(A17, Dataset!A:G, 7, FALSE), "")</f>
        <v>30.7</v>
      </c>
      <c r="C17" s="11">
        <f>IFERROR(VLOOKUP(A17, Dataset!A:N, 14, FALSE), "")</f>
        <v>92.1</v>
      </c>
      <c r="D17" s="11">
        <f>IFERROR(VLOOKUP(A17, Dataset!A:R, 18, FALSE), "")</f>
        <v>57</v>
      </c>
      <c r="E17" s="11">
        <f>IFERROR(VLOOKUP(A17,Dataset!A:T, 20, FALSE), "")</f>
        <v>115.1</v>
      </c>
      <c r="F17" s="8">
        <f>IFERROR(VLOOKUP(A17, Dataset!A:V, 22, FALSE), "")</f>
        <v>57</v>
      </c>
    </row>
    <row r="18" spans="1:6" ht="14.4" x14ac:dyDescent="0.3">
      <c r="A18" s="7" t="s">
        <v>23</v>
      </c>
      <c r="B18" s="11">
        <f>IFERROR(VLOOKUP(A18, Dataset!A:G, 7, FALSE), "")</f>
        <v>33.799999999999997</v>
      </c>
      <c r="C18" s="11">
        <f>IFERROR(VLOOKUP(A18, Dataset!A:N, 14, FALSE), "")</f>
        <v>101.3</v>
      </c>
      <c r="D18" s="11">
        <f>IFERROR(VLOOKUP(A18, Dataset!A:R, 18, FALSE), "")</f>
        <v>61.4</v>
      </c>
      <c r="E18" s="11">
        <f>IFERROR(VLOOKUP(A18,Dataset!A:T, 20, FALSE), "")</f>
        <v>124.4</v>
      </c>
      <c r="F18" s="8">
        <f>IFERROR(VLOOKUP(A18, Dataset!A:V, 22, FALSE), "")</f>
        <v>61.4</v>
      </c>
    </row>
    <row r="19" spans="1:6" ht="14.4" x14ac:dyDescent="0.3">
      <c r="A19" s="7" t="s">
        <v>24</v>
      </c>
      <c r="B19" s="11">
        <f>IFERROR(VLOOKUP(A19, Dataset!A:G, 7, FALSE), "")</f>
        <v>34.700000000000003</v>
      </c>
      <c r="C19" s="11">
        <f>IFERROR(VLOOKUP(A19, Dataset!A:N, 14, FALSE), "")</f>
        <v>106.1</v>
      </c>
      <c r="D19" s="11">
        <f>IFERROR(VLOOKUP(A19, Dataset!A:R, 18, FALSE), "")</f>
        <v>63.6</v>
      </c>
      <c r="E19" s="11">
        <f>IFERROR(VLOOKUP(A19,Dataset!A:T, 20, FALSE), "")</f>
        <v>128.6</v>
      </c>
      <c r="F19" s="8">
        <f>IFERROR(VLOOKUP(A19, Dataset!A:V, 22, FALSE), "")</f>
        <v>63.6</v>
      </c>
    </row>
    <row r="20" spans="1:6" ht="14.4" x14ac:dyDescent="0.3">
      <c r="A20" s="7" t="s">
        <v>28</v>
      </c>
      <c r="B20" s="11">
        <f>IFERROR(VLOOKUP(A20, Dataset!A:G, 7, FALSE), "")</f>
        <v>0</v>
      </c>
      <c r="C20" s="11">
        <f>IFERROR(VLOOKUP(A20, Dataset!A:N, 14, FALSE), "")</f>
        <v>0</v>
      </c>
      <c r="D20" s="11">
        <f>IFERROR(VLOOKUP(A20, Dataset!A:R, 18, FALSE), "")</f>
        <v>0</v>
      </c>
      <c r="E20" s="11">
        <f>IFERROR(VLOOKUP(A20,Dataset!A:T, 20, FALSE), "")</f>
        <v>0</v>
      </c>
      <c r="F20" s="8">
        <f>IFERROR(VLOOKUP(A20, Dataset!A:V, 22, FALSE), "")</f>
        <v>0</v>
      </c>
    </row>
    <row r="21" spans="1:6" ht="14.4" x14ac:dyDescent="0.3">
      <c r="A21" s="7" t="s">
        <v>57</v>
      </c>
      <c r="B21" s="11">
        <f>IFERROR(VLOOKUP(A21, Dataset!A:G, 7, FALSE), "")</f>
        <v>41.3</v>
      </c>
      <c r="C21" s="11">
        <f>IFERROR(VLOOKUP(A21, Dataset!A:N, 14, FALSE), "")</f>
        <v>124.4</v>
      </c>
      <c r="D21" s="11">
        <f>IFERROR(VLOOKUP(A21, Dataset!A:R, 18, FALSE), "")</f>
        <v>75</v>
      </c>
      <c r="E21" s="11">
        <f>IFERROR(VLOOKUP(A21,Dataset!A:T, 20, FALSE), "")</f>
        <v>151.5</v>
      </c>
      <c r="F21" s="8">
        <f>IFERROR(VLOOKUP(A21, Dataset!A:V, 22, FALSE), "")</f>
        <v>75</v>
      </c>
    </row>
    <row r="22" spans="1:6" ht="14.4" x14ac:dyDescent="0.3">
      <c r="A22" s="7" t="s">
        <v>58</v>
      </c>
      <c r="B22" s="11">
        <f>IFERROR(VLOOKUP(A22, Dataset!A:G, 7, FALSE), "")</f>
        <v>-1</v>
      </c>
      <c r="C22" s="11">
        <f>IFERROR(VLOOKUP(A22, Dataset!A:N, 14, FALSE), "")</f>
        <v>-1</v>
      </c>
      <c r="D22" s="11">
        <f>IFERROR(VLOOKUP(A22, Dataset!A:R, 18, FALSE), "")</f>
        <v>-1</v>
      </c>
      <c r="E22" s="11">
        <f>IFERROR(VLOOKUP(A22,Dataset!A:T, 20, FALSE), "")</f>
        <v>-1</v>
      </c>
      <c r="F22" s="8">
        <f>IFERROR(VLOOKUP(A22, Dataset!A:V, 22, FALSE), "")</f>
        <v>-1</v>
      </c>
    </row>
    <row r="23" spans="1:6" ht="14.4" x14ac:dyDescent="0.3">
      <c r="A23" s="7" t="s">
        <v>31</v>
      </c>
      <c r="B23" s="11">
        <f>IFERROR(VLOOKUP(A23, Dataset!A:G, 7, FALSE), "")</f>
        <v>45</v>
      </c>
      <c r="C23" s="11">
        <f>IFERROR(VLOOKUP(A23, Dataset!A:N, 14, FALSE), "")</f>
        <v>133.4</v>
      </c>
      <c r="D23" s="11">
        <f>IFERROR(VLOOKUP(A23, Dataset!A:R, 18, FALSE), "")</f>
        <v>79.400000000000006</v>
      </c>
      <c r="E23" s="11">
        <f>IFERROR(VLOOKUP(A23,Dataset!A:T, 20, FALSE), "")</f>
        <v>160.9</v>
      </c>
      <c r="F23" s="8">
        <f>IFERROR(VLOOKUP(A23, Dataset!A:V, 22, FALSE), "")</f>
        <v>79.400000000000006</v>
      </c>
    </row>
    <row r="24" spans="1:6" ht="14.4" x14ac:dyDescent="0.3">
      <c r="A24" s="7" t="s">
        <v>32</v>
      </c>
      <c r="B24" s="11">
        <f>IFERROR(VLOOKUP(A24, Dataset!A:G, 7, FALSE), "")</f>
        <v>-1</v>
      </c>
      <c r="C24" s="11">
        <f>IFERROR(VLOOKUP(A24, Dataset!A:N, 14, FALSE), "")</f>
        <v>-1</v>
      </c>
      <c r="D24" s="11">
        <f>IFERROR(VLOOKUP(A24, Dataset!A:R, 18, FALSE), "")</f>
        <v>-1</v>
      </c>
      <c r="E24" s="11">
        <f>IFERROR(VLOOKUP(A24,Dataset!A:T, 20, FALSE), "")</f>
        <v>-1</v>
      </c>
      <c r="F24" s="8">
        <f>IFERROR(VLOOKUP(A24, Dataset!A:V, 22, FALSE), "")</f>
        <v>-1</v>
      </c>
    </row>
    <row r="25" spans="1:6" ht="14.4" x14ac:dyDescent="0.3">
      <c r="A25" s="7" t="s">
        <v>34</v>
      </c>
      <c r="B25" s="11">
        <f>IFERROR(VLOOKUP(A25, Dataset!A:G, 7, FALSE), "")</f>
        <v>43.3</v>
      </c>
      <c r="C25" s="11">
        <f>IFERROR(VLOOKUP(A25, Dataset!A:N, 14, FALSE), "")</f>
        <v>128.6</v>
      </c>
      <c r="D25" s="11">
        <f>IFERROR(VLOOKUP(A25, Dataset!A:R, 18, FALSE), "")</f>
        <v>79.400000000000006</v>
      </c>
      <c r="E25" s="11">
        <f>IFERROR(VLOOKUP(A25,Dataset!A:T, 20, FALSE), "")</f>
        <v>160.9</v>
      </c>
      <c r="F25" s="8">
        <f>IFERROR(VLOOKUP(A25, Dataset!A:V, 22, FALSE), "")</f>
        <v>79.400000000000006</v>
      </c>
    </row>
    <row r="26" spans="1:6" ht="14.4" x14ac:dyDescent="0.3">
      <c r="A26" s="7" t="s">
        <v>37</v>
      </c>
      <c r="B26" s="11">
        <f>IFERROR(VLOOKUP(A26, Dataset!A:G, 7, FALSE), "")</f>
        <v>49.1</v>
      </c>
      <c r="C26" s="11">
        <f>IFERROR(VLOOKUP(A26, Dataset!A:N, 14, FALSE), "")</f>
        <v>146.80000000000001</v>
      </c>
      <c r="D26" s="11">
        <f>IFERROR(VLOOKUP(A26, Dataset!A:R, 18, FALSE), "")</f>
        <v>90.9</v>
      </c>
      <c r="E26" s="11">
        <f>IFERROR(VLOOKUP(A26,Dataset!A:T, 20, FALSE), "")</f>
        <v>183.5</v>
      </c>
      <c r="F26" s="8">
        <f>IFERROR(VLOOKUP(A26, Dataset!A:V, 22, FALSE), "")</f>
        <v>90.9</v>
      </c>
    </row>
    <row r="27" spans="1:6" ht="14.4" x14ac:dyDescent="0.3">
      <c r="A27" s="7" t="s">
        <v>39</v>
      </c>
      <c r="B27" s="11">
        <f>IFERROR(VLOOKUP(A27, Dataset!A:G, 7, FALSE), "")</f>
        <v>51.8</v>
      </c>
      <c r="C27" s="11">
        <f>IFERROR(VLOOKUP(A27, Dataset!A:N, 14, FALSE), "")</f>
        <v>156.4</v>
      </c>
      <c r="D27" s="11">
        <f>IFERROR(VLOOKUP(A27, Dataset!A:R, 18, FALSE), "")</f>
        <v>93.1</v>
      </c>
      <c r="E27" s="11">
        <f>IFERROR(VLOOKUP(A27,Dataset!A:T, 20, FALSE), "")</f>
        <v>188.1</v>
      </c>
      <c r="F27" s="8">
        <f>IFERROR(VLOOKUP(A27, Dataset!A:V, 22, FALSE), "")</f>
        <v>93.1</v>
      </c>
    </row>
    <row r="28" spans="1:6" ht="14.4" x14ac:dyDescent="0.3">
      <c r="A28" s="18" t="s">
        <v>82</v>
      </c>
      <c r="B28" s="47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7" zoomScaleNormal="100" workbookViewId="0">
      <selection activeCell="C16" sqref="C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49.2" customHeight="1" x14ac:dyDescent="0.35">
      <c r="A5" s="42" t="s">
        <v>53</v>
      </c>
      <c r="B5" s="39" t="s">
        <v>178</v>
      </c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MID(A16, FIND("-", A16, FIND("-", A16, FIND("-", A16, FIND("-", A16) + 1) + 1) + 1) + 1, LEN(A16))</f>
        <v>24</v>
      </c>
    </row>
    <row r="17" spans="1:6" x14ac:dyDescent="0.3">
      <c r="A17" s="7" t="s">
        <v>122</v>
      </c>
      <c r="B17" s="11" t="str">
        <f>LEFT(A17, FIND("-", A16) - 1)</f>
        <v>20002</v>
      </c>
      <c r="C17" s="1" t="str">
        <f t="shared" ref="C17:C54" si="0">MID(A17, FIND("-", A17) + 1, FIND("-", A17, FIND("-", A17) + 1) - FIND("-", A17) - 1)</f>
        <v>Monday</v>
      </c>
      <c r="D17" s="11" t="str">
        <f t="shared" ref="D17:D54" si="1">MID(A17, FIND("-", A17, FIND("-", A17) + 1) + 1, FIND("-", A17, FIND("-", A17, FIND("-", A17) + 1) + 1) - FIND("-", A17, FIND("-", A17) + 1) - 1)</f>
        <v>0</v>
      </c>
      <c r="E17" s="1" t="str">
        <f t="shared" ref="E17:E54" si="2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3">MID(A17, FIND("-", A17, FIND("-", A17, FIND("-", A17, FIND("-", A17) + 1) + 1) + 1) + 1, LEN(A17))</f>
        <v>24</v>
      </c>
    </row>
    <row r="18" spans="1:6" x14ac:dyDescent="0.3">
      <c r="A18" s="7" t="s">
        <v>123</v>
      </c>
      <c r="B18" s="11" t="str">
        <f>LEFT(A18, FIND("-", A16) - 1)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 x14ac:dyDescent="0.3">
      <c r="A19" s="7" t="s">
        <v>124</v>
      </c>
      <c r="B19" s="11" t="str">
        <f>LEFT(A19, FIND("-", A16) - 1)</f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3">
      <c r="A20" s="7" t="s">
        <v>125</v>
      </c>
      <c r="B20" s="11" t="str">
        <f>LEFT(A20, FIND("-", A16) - 1)</f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3">
      <c r="A21" s="7" t="s">
        <v>126</v>
      </c>
      <c r="B21" s="11" t="str">
        <f>LEFT(A21, FIND("-", A16) - 1)</f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3">
      <c r="A22" s="7" t="s">
        <v>127</v>
      </c>
      <c r="B22" s="11" t="str">
        <f>LEFT(A22, FIND("-", A16) - 1)</f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3">
      <c r="A23" s="7" t="s">
        <v>128</v>
      </c>
      <c r="B23" s="11" t="str">
        <f>LEFT(A23, FIND("-", A16) - 1)</f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3">
      <c r="A24" s="7" t="s">
        <v>129</v>
      </c>
      <c r="B24" s="11" t="str">
        <f>LEFT(A24, FIND("-", A16) - 1)</f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3">
      <c r="A25" s="7" t="s">
        <v>130</v>
      </c>
      <c r="B25" s="11" t="str">
        <f>LEFT(A25, FIND("-", A16) - 1)</f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3">
      <c r="A26" s="7" t="s">
        <v>131</v>
      </c>
      <c r="B26" s="11" t="str">
        <f>LEFT(A26, FIND("-", A16) - 1)</f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3">
      <c r="A27" s="7" t="s">
        <v>132</v>
      </c>
      <c r="B27" s="11" t="str">
        <f>LEFT(A27, FIND("-", A16) - 1)</f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3">
      <c r="A28" s="7" t="s">
        <v>133</v>
      </c>
      <c r="B28" s="11" t="str">
        <f>LEFT(A28, FIND("-", A16) - 1)</f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3">
      <c r="A29" s="7" t="s">
        <v>134</v>
      </c>
      <c r="B29" s="11" t="str">
        <f>LEFT(A29, FIND("-", A16) - 1)</f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3">
      <c r="A30" s="7" t="s">
        <v>135</v>
      </c>
      <c r="B30" s="11" t="str">
        <f>LEFT(A30, FIND("-", A16) - 1)</f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3">
      <c r="A31" s="7" t="s">
        <v>136</v>
      </c>
      <c r="B31" s="11" t="str">
        <f t="shared" ref="B31:B54" si="4">LEFT(A31, FIND("-", A17) - 1)</f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3">
      <c r="A32" s="7" t="s">
        <v>137</v>
      </c>
      <c r="B32" s="1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3">
      <c r="A33" s="7" t="s">
        <v>138</v>
      </c>
      <c r="B33" s="1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3">
      <c r="A34" s="7" t="s">
        <v>139</v>
      </c>
      <c r="B34" s="1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3">
      <c r="A35" s="7" t="s">
        <v>140</v>
      </c>
      <c r="B35" s="1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3">
      <c r="A36" s="7" t="s">
        <v>141</v>
      </c>
      <c r="B36" s="1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3">
      <c r="A37" s="7" t="s">
        <v>142</v>
      </c>
      <c r="B37" s="1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3">
      <c r="A38" s="7" t="s">
        <v>143</v>
      </c>
      <c r="B38" s="1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3">
      <c r="A39" s="7" t="s">
        <v>144</v>
      </c>
      <c r="B39" s="1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3">
      <c r="A40" s="7" t="s">
        <v>145</v>
      </c>
      <c r="B40" s="1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3">
      <c r="A41" s="7" t="s">
        <v>146</v>
      </c>
      <c r="B41" s="1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3">
      <c r="A42" s="7" t="s">
        <v>147</v>
      </c>
      <c r="B42" s="1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3">
      <c r="A43" s="7" t="s">
        <v>148</v>
      </c>
      <c r="B43" s="1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3">
      <c r="A44" s="7" t="s">
        <v>149</v>
      </c>
      <c r="B44" s="1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3">
      <c r="A45" s="7" t="s">
        <v>150</v>
      </c>
      <c r="B45" s="1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3">
      <c r="A46" s="7" t="s">
        <v>112</v>
      </c>
      <c r="B46" s="1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3">
      <c r="A47" s="7" t="s">
        <v>113</v>
      </c>
      <c r="B47" s="11" t="str">
        <f t="shared" si="4"/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3">
      <c r="A48" s="7" t="s">
        <v>114</v>
      </c>
      <c r="B48" s="1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3">
      <c r="A49" s="7" t="s">
        <v>115</v>
      </c>
      <c r="B49" s="1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3">
      <c r="A50" s="7" t="s">
        <v>116</v>
      </c>
      <c r="B50" s="1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3">
      <c r="A51" s="7" t="s">
        <v>117</v>
      </c>
      <c r="B51" s="1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3">
      <c r="A52" s="7" t="s">
        <v>118</v>
      </c>
      <c r="B52" s="1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3">
      <c r="A53" s="7" t="s">
        <v>119</v>
      </c>
      <c r="B53" s="1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3">
      <c r="A54" s="9" t="s">
        <v>120</v>
      </c>
      <c r="B54" s="1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48" t="s">
        <v>179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SUMPRODUCT(IF(ISNUMBER(C12:C21),C12:C21,20))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5" sqref="D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  <c r="C4" s="49" t="s">
        <v>181</v>
      </c>
    </row>
    <row r="5" spans="1:14" ht="18" x14ac:dyDescent="0.35">
      <c r="A5" s="42" t="s">
        <v>153</v>
      </c>
      <c r="B5" s="1"/>
      <c r="C5" s="2" t="s">
        <v>182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v>95</v>
      </c>
    </row>
    <row r="24" spans="1:14" ht="14.4" x14ac:dyDescent="0.3">
      <c r="A24" s="7">
        <v>10100</v>
      </c>
      <c r="B24" s="11">
        <v>10104</v>
      </c>
      <c r="C24" s="43">
        <v>-1</v>
      </c>
    </row>
    <row r="25" spans="1:14" ht="14.4" x14ac:dyDescent="0.3">
      <c r="A25" s="7">
        <v>10108</v>
      </c>
      <c r="B25" s="11">
        <v>10102</v>
      </c>
      <c r="C25" s="43">
        <v>390</v>
      </c>
    </row>
    <row r="26" spans="1:14" ht="14.4" x14ac:dyDescent="0.3">
      <c r="A26" s="7">
        <v>10100</v>
      </c>
      <c r="B26" s="11">
        <v>10106</v>
      </c>
      <c r="C26" s="43">
        <v>185</v>
      </c>
    </row>
    <row r="27" spans="1:14" ht="14.4" x14ac:dyDescent="0.3">
      <c r="A27" s="7">
        <v>10108</v>
      </c>
      <c r="B27" s="11">
        <v>10110</v>
      </c>
      <c r="C27" s="43">
        <v>210</v>
      </c>
    </row>
    <row r="28" spans="1:14" ht="14.4" x14ac:dyDescent="0.3">
      <c r="A28" s="7">
        <v>10102</v>
      </c>
      <c r="B28" s="11">
        <v>10104</v>
      </c>
      <c r="C28" s="43">
        <v>-1</v>
      </c>
    </row>
    <row r="29" spans="1:14" ht="14.4" x14ac:dyDescent="0.3">
      <c r="A29" s="7">
        <v>10106</v>
      </c>
      <c r="B29" s="11">
        <v>10108</v>
      </c>
      <c r="C29" s="43">
        <v>70</v>
      </c>
    </row>
    <row r="30" spans="1:14" ht="14.4" x14ac:dyDescent="0.3">
      <c r="A30" s="7">
        <v>10102</v>
      </c>
      <c r="B30" s="11">
        <v>10106</v>
      </c>
      <c r="C30" s="43">
        <v>90</v>
      </c>
    </row>
    <row r="31" spans="1:14" ht="14.4" x14ac:dyDescent="0.3">
      <c r="A31" s="7">
        <v>10110</v>
      </c>
      <c r="B31" s="11">
        <v>10114</v>
      </c>
      <c r="C31" s="43">
        <v>180</v>
      </c>
    </row>
    <row r="32" spans="1:14" ht="14.4" x14ac:dyDescent="0.3">
      <c r="A32" s="7">
        <v>10104</v>
      </c>
      <c r="B32" s="11">
        <v>10106</v>
      </c>
      <c r="C32" s="43">
        <v>60</v>
      </c>
    </row>
    <row r="33" spans="1:3" ht="14.4" x14ac:dyDescent="0.3">
      <c r="A33" s="7">
        <v>10110</v>
      </c>
      <c r="B33" s="11">
        <v>10112</v>
      </c>
      <c r="C33" s="43">
        <v>115</v>
      </c>
    </row>
    <row r="34" spans="1:3" ht="14.4" x14ac:dyDescent="0.3">
      <c r="A34" s="7">
        <v>10100</v>
      </c>
      <c r="B34" s="11">
        <v>10114</v>
      </c>
      <c r="C34" s="43">
        <v>480</v>
      </c>
    </row>
    <row r="35" spans="1:3" ht="14.4" x14ac:dyDescent="0.3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Akanksha Lodh</cp:lastModifiedBy>
  <dcterms:created xsi:type="dcterms:W3CDTF">2015-02-10T17:33:11Z</dcterms:created>
  <dcterms:modified xsi:type="dcterms:W3CDTF">2023-12-10T17:21:46Z</dcterms:modified>
</cp:coreProperties>
</file>